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Task Tracker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<sst xmlns="http://schemas.openxmlformats.org/spreadsheetml/2006/main" count="141" uniqueCount="92">
  <si>
    <t xml:space="preserve">🚀  AIOps Internship — Daily Task Tracker</t>
  </si>
  <si>
    <t xml:space="preserve">Project: AIOps  |  Start Date: 26 March 2026  |  Tools: Kubernetes · Helm · OpenShift · ML · Data Preprocessing</t>
  </si>
  <si>
    <t xml:space="preserve">#</t>
  </si>
  <si>
    <t xml:space="preserve">Start Date</t>
  </si>
  <si>
    <t xml:space="preserve">End Date</t>
  </si>
  <si>
    <t xml:space="preserve">Day</t>
  </si>
  <si>
    <t xml:space="preserve">Task / Activity</t>
  </si>
  <si>
    <t xml:space="preserve">Tool / Technology</t>
  </si>
  <si>
    <t xml:space="preserve">Status</t>
  </si>
  <si>
    <t xml:space="preserve">Product / Module</t>
  </si>
  <si>
    <t xml:space="preserve">Notes</t>
  </si>
  <si>
    <t xml:space="preserve">26-Mar-2026</t>
  </si>
  <si>
    <t xml:space="preserve">Thursday</t>
  </si>
  <si>
    <t xml:space="preserve">Orientation &amp; environment setup</t>
  </si>
  <si>
    <t xml:space="preserve">Kubernetes / Minikube</t>
  </si>
  <si>
    <t xml:space="preserve">✅ Completed</t>
  </si>
  <si>
    <t xml:space="preserve">AIOps - Infra</t>
  </si>
  <si>
    <t xml:space="preserve">27-Mar-2026</t>
  </si>
  <si>
    <t xml:space="preserve">Friday</t>
  </si>
  <si>
    <t xml:space="preserve">Study Kubernetes core concepts (pods, services)</t>
  </si>
  <si>
    <t xml:space="preserve">Kubernetes</t>
  </si>
  <si>
    <t xml:space="preserve">30-Mar-2026</t>
  </si>
  <si>
    <t xml:space="preserve">Monday</t>
  </si>
  <si>
    <t xml:space="preserve">Deploy sample app on Minikube</t>
  </si>
  <si>
    <t xml:space="preserve">Kubernetes / Helm</t>
  </si>
  <si>
    <t xml:space="preserve">31-Mar-2026</t>
  </si>
  <si>
    <t xml:space="preserve">Tuesday</t>
  </si>
  <si>
    <t xml:space="preserve">Learn Helm chart structure &amp; templating</t>
  </si>
  <si>
    <t xml:space="preserve">Helm</t>
  </si>
  <si>
    <t xml:space="preserve">01-Apr-2026</t>
  </si>
  <si>
    <t xml:space="preserve">Wednesday</t>
  </si>
  <si>
    <t xml:space="preserve">Deploy n8n workflow automation on K8s</t>
  </si>
  <si>
    <t xml:space="preserve">AIOps - Automation</t>
  </si>
  <si>
    <t xml:space="preserve">02-Apr-2026</t>
  </si>
  <si>
    <t xml:space="preserve">OpenShift introduction &amp; comparison with K8s</t>
  </si>
  <si>
    <t xml:space="preserve">OpenShift</t>
  </si>
  <si>
    <t xml:space="preserve">03-Apr-2026</t>
  </si>
  <si>
    <t xml:space="preserve">Data collection &amp; exploration for AIOps dataset</t>
  </si>
  <si>
    <t xml:space="preserve">Python / Pandas</t>
  </si>
  <si>
    <t xml:space="preserve">AIOps - ML</t>
  </si>
  <si>
    <t xml:space="preserve">06-Apr-2026</t>
  </si>
  <si>
    <t xml:space="preserve">07-Apr-2026</t>
  </si>
  <si>
    <t xml:space="preserve">Data preprocessing: cleaning &amp; normalization</t>
  </si>
  <si>
    <t xml:space="preserve">Python / Scikit-learn</t>
  </si>
  <si>
    <t xml:space="preserve">08-Apr-2026</t>
  </si>
  <si>
    <t xml:space="preserve">09-Apr-2026</t>
  </si>
  <si>
    <t xml:space="preserve">Feature engineering for anomaly detection</t>
  </si>
  <si>
    <t xml:space="preserve">Python / ML</t>
  </si>
  <si>
    <t xml:space="preserve">🔄 In Progress</t>
  </si>
  <si>
    <t xml:space="preserve">10-Apr-2026</t>
  </si>
  <si>
    <t xml:space="preserve">13-Apr-2026</t>
  </si>
  <si>
    <t xml:space="preserve">Build &amp; train anomaly detection model</t>
  </si>
  <si>
    <t xml:space="preserve">ML / Scikit-learn</t>
  </si>
  <si>
    <t xml:space="preserve">⏳ Pending</t>
  </si>
  <si>
    <t xml:space="preserve">14-Apr-2026</t>
  </si>
  <si>
    <t xml:space="preserve">16-Apr-2026</t>
  </si>
  <si>
    <t xml:space="preserve">Containerize ML model with Docker</t>
  </si>
  <si>
    <t xml:space="preserve">Docker / Kubernetes</t>
  </si>
  <si>
    <t xml:space="preserve">17-Apr-2026</t>
  </si>
  <si>
    <t xml:space="preserve">20-Apr-2026</t>
  </si>
  <si>
    <t xml:space="preserve">Deploy ML model on OpenShift cluster</t>
  </si>
  <si>
    <t xml:space="preserve">OpenShift / Helm</t>
  </si>
  <si>
    <t xml:space="preserve">AIOps - Deployment</t>
  </si>
  <si>
    <t xml:space="preserve">21-Apr-2026</t>
  </si>
  <si>
    <t xml:space="preserve">24-Apr-2026</t>
  </si>
  <si>
    <t xml:space="preserve">Set up monitoring with Prometheus &amp; Grafana</t>
  </si>
  <si>
    <t xml:space="preserve">AIOps - Monitoring</t>
  </si>
  <si>
    <t xml:space="preserve">27-Apr-2026</t>
  </si>
  <si>
    <t xml:space="preserve">30-Apr-2026</t>
  </si>
  <si>
    <t xml:space="preserve">Integrate model with n8n automation pipeline</t>
  </si>
  <si>
    <t xml:space="preserve">n8n / Kubernetes</t>
  </si>
  <si>
    <t xml:space="preserve">01-May-2026</t>
  </si>
  <si>
    <t xml:space="preserve">05-May-2026</t>
  </si>
  <si>
    <t xml:space="preserve">Testing, documentation &amp; final presentation</t>
  </si>
  <si>
    <t xml:space="preserve">All Tools</t>
  </si>
  <si>
    <t xml:space="preserve">AIOps - Final</t>
  </si>
  <si>
    <t xml:space="preserve">📊  Internship Progress Summary</t>
  </si>
  <si>
    <t xml:space="preserve">Intern Name</t>
  </si>
  <si>
    <t xml:space="preserve">Internship Start</t>
  </si>
  <si>
    <t xml:space="preserve">Expected End</t>
  </si>
  <si>
    <t xml:space="preserve">Organization</t>
  </si>
  <si>
    <t xml:space="preserve">Supervisor</t>
  </si>
  <si>
    <t xml:space="preserve">Project</t>
  </si>
  <si>
    <t xml:space="preserve">AIOps</t>
  </si>
  <si>
    <t xml:space="preserve">Count</t>
  </si>
  <si>
    <t xml:space="preserve">❌ Blocked</t>
  </si>
  <si>
    <t xml:space="preserve">Total Tasks</t>
  </si>
  <si>
    <t xml:space="preserve">Legend / Status Guide</t>
  </si>
  <si>
    <t xml:space="preserve">Task fully done</t>
  </si>
  <si>
    <t xml:space="preserve">Currently working on it</t>
  </si>
  <si>
    <t xml:space="preserve">Not started yet</t>
  </si>
  <si>
    <t xml:space="preserve">Waiting on dependency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</si>
</sst>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E6DA4"/>
        <bgColor rgb="FF3366FF"/>
      </patternFill>
    </fill>
    <fill>
      <patternFill patternType="solid">
        <fgColor rgb="FF1ABC9C"/>
        <bgColor rgb="FF339966"/>
      </patternFill>
    </fill>
    <fill>
      <patternFill patternType="solid">
        <fgColor rgb="FFFFFFFF"/>
        <bgColor rgb="FFF5F7FA"/>
      </patternFill>
    </fill>
    <fill>
      <patternFill patternType="solid">
        <fgColor rgb="FFD4EDDA"/>
        <bgColor rgb="FFD6E4F0"/>
      </patternFill>
    </fill>
    <fill>
      <patternFill patternType="solid">
        <fgColor rgb="FFF5F7FA"/>
        <bgColor rgb="FFFFFFFF"/>
      </patternFill>
    </fill>
    <fill>
      <patternFill patternType="solid">
        <fgColor rgb="FFFFF3CD"/>
        <bgColor rgb="FFFFE5B4"/>
      </patternFill>
    </fill>
    <fill>
      <patternFill patternType="solid">
        <fgColor rgb="FFFFE5B4"/>
        <bgColor rgb="FFFFF3CD"/>
      </patternFill>
    </fill>
    <fill>
      <patternFill patternType="solid">
        <fgColor rgb="FFD6E4F0"/>
        <bgColor rgb="FFDEE2E6"/>
      </patternFill>
    </fill>
    <fill>
      <patternFill patternType="solid">
        <fgColor rgb="FFF8D7DA"/>
        <bgColor rgb="FFFFE5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8D7DA"/>
      <rgbColor rgb="FF808080"/>
      <rgbColor rgb="FF9999FF"/>
      <rgbColor rgb="FF993366"/>
      <rgbColor rgb="FFFFF3CD"/>
      <rgbColor rgb="FFF5F7FA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2E6"/>
      <rgbColor rgb="FFD4EDDA"/>
      <rgbColor rgb="FFFFFF99"/>
      <rgbColor rgb="FF99CCFF"/>
      <rgbColor rgb="FFFF99CC"/>
      <rgbColor rgb="FFCC99FF"/>
      <rgbColor rgb="FFFFE5B4"/>
      <rgbColor rgb="FF3366FF"/>
      <rgbColor rgb="FF1ABC9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38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3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21.75" hidden="false" customHeight="true" outlineLevel="0" collapsed="false">
      <c r="A4" s="4" t="n">
        <v>1</v>
      </c>
      <c r="B4" s="4" t="s">
        <v>11</v>
      </c>
      <c r="C4" s="4" t="s">
        <v>11</v>
      </c>
      <c r="D4" s="4" t="s">
        <v>12</v>
      </c>
      <c r="E4" s="5" t="s">
        <v>13</v>
      </c>
      <c r="F4" s="5" t="s">
        <v>14</v>
      </c>
      <c r="G4" s="6" t="s">
        <v>15</v>
      </c>
      <c r="H4" s="5" t="s">
        <v>16</v>
      </c>
      <c r="I4" s="5"/>
    </row>
    <row r="5" customFormat="false" ht="21.75" hidden="false" customHeight="true" outlineLevel="0" collapsed="false">
      <c r="A5" s="7" t="n">
        <v>2</v>
      </c>
      <c r="B5" s="7" t="s">
        <v>17</v>
      </c>
      <c r="C5" s="7" t="s">
        <v>17</v>
      </c>
      <c r="D5" s="7" t="s">
        <v>18</v>
      </c>
      <c r="E5" s="8" t="s">
        <v>19</v>
      </c>
      <c r="F5" s="8" t="s">
        <v>20</v>
      </c>
      <c r="G5" s="6" t="s">
        <v>15</v>
      </c>
      <c r="H5" s="8" t="s">
        <v>16</v>
      </c>
      <c r="I5" s="8"/>
    </row>
    <row r="6" customFormat="false" ht="21.75" hidden="false" customHeight="true" outlineLevel="0" collapsed="false">
      <c r="A6" s="4" t="n">
        <v>3</v>
      </c>
      <c r="B6" s="4" t="s">
        <v>21</v>
      </c>
      <c r="C6" s="4" t="s">
        <v>21</v>
      </c>
      <c r="D6" s="4" t="s">
        <v>22</v>
      </c>
      <c r="E6" s="5" t="s">
        <v>23</v>
      </c>
      <c r="F6" s="5" t="s">
        <v>24</v>
      </c>
      <c r="G6" s="6" t="s">
        <v>15</v>
      </c>
      <c r="H6" s="5" t="s">
        <v>16</v>
      </c>
      <c r="I6" s="5"/>
    </row>
    <row r="7" customFormat="false" ht="21.75" hidden="false" customHeight="true" outlineLevel="0" collapsed="false">
      <c r="A7" s="7" t="n">
        <v>4</v>
      </c>
      <c r="B7" s="7" t="s">
        <v>25</v>
      </c>
      <c r="C7" s="7" t="s">
        <v>25</v>
      </c>
      <c r="D7" s="7" t="s">
        <v>26</v>
      </c>
      <c r="E7" s="8" t="s">
        <v>27</v>
      </c>
      <c r="F7" s="8" t="s">
        <v>28</v>
      </c>
      <c r="G7" s="6" t="s">
        <v>15</v>
      </c>
      <c r="H7" s="8" t="s">
        <v>16</v>
      </c>
      <c r="I7" s="8"/>
    </row>
    <row r="8" customFormat="false" ht="21.75" hidden="false" customHeight="true" outlineLevel="0" collapsed="false">
      <c r="A8" s="4" t="n">
        <v>5</v>
      </c>
      <c r="B8" s="4" t="s">
        <v>29</v>
      </c>
      <c r="C8" s="4" t="s">
        <v>29</v>
      </c>
      <c r="D8" s="4" t="s">
        <v>30</v>
      </c>
      <c r="E8" s="5" t="s">
        <v>31</v>
      </c>
      <c r="F8" s="5" t="s">
        <v>20</v>
      </c>
      <c r="G8" s="6" t="s">
        <v>15</v>
      </c>
      <c r="H8" s="5" t="s">
        <v>32</v>
      </c>
      <c r="I8" s="5"/>
    </row>
    <row r="9" customFormat="false" ht="21.75" hidden="false" customHeight="true" outlineLevel="0" collapsed="false">
      <c r="A9" s="7" t="n">
        <v>6</v>
      </c>
      <c r="B9" s="7" t="s">
        <v>33</v>
      </c>
      <c r="C9" s="7" t="s">
        <v>33</v>
      </c>
      <c r="D9" s="7" t="s">
        <v>12</v>
      </c>
      <c r="E9" s="8" t="s">
        <v>34</v>
      </c>
      <c r="F9" s="8" t="s">
        <v>35</v>
      </c>
      <c r="G9" s="6" t="s">
        <v>15</v>
      </c>
      <c r="H9" s="8" t="s">
        <v>16</v>
      </c>
      <c r="I9" s="8"/>
    </row>
    <row r="10" customFormat="false" ht="21.75" hidden="false" customHeight="true" outlineLevel="0" collapsed="false">
      <c r="A10" s="4" t="n">
        <v>7</v>
      </c>
      <c r="B10" s="4" t="s">
        <v>36</v>
      </c>
      <c r="C10" s="4" t="s">
        <v>36</v>
      </c>
      <c r="D10" s="4" t="s">
        <v>18</v>
      </c>
      <c r="E10" s="5" t="s">
        <v>37</v>
      </c>
      <c r="F10" s="5" t="s">
        <v>38</v>
      </c>
      <c r="G10" s="6" t="s">
        <v>15</v>
      </c>
      <c r="H10" s="5" t="s">
        <v>39</v>
      </c>
      <c r="I10" s="5"/>
    </row>
    <row r="11" customFormat="false" ht="21.75" hidden="false" customHeight="true" outlineLevel="0" collapsed="false">
      <c r="A11" s="7" t="n">
        <v>8</v>
      </c>
      <c r="B11" s="7" t="s">
        <v>40</v>
      </c>
      <c r="C11" s="7" t="s">
        <v>41</v>
      </c>
      <c r="D11" s="7" t="s">
        <v>22</v>
      </c>
      <c r="E11" s="8" t="s">
        <v>42</v>
      </c>
      <c r="F11" s="8" t="s">
        <v>43</v>
      </c>
      <c r="G11" s="6" t="s">
        <v>15</v>
      </c>
      <c r="H11" s="8" t="s">
        <v>39</v>
      </c>
      <c r="I11" s="8"/>
    </row>
    <row r="12" customFormat="false" ht="21.75" hidden="false" customHeight="true" outlineLevel="0" collapsed="false">
      <c r="A12" s="4" t="n">
        <v>9</v>
      </c>
      <c r="B12" s="4" t="s">
        <v>44</v>
      </c>
      <c r="C12" s="4" t="s">
        <v>45</v>
      </c>
      <c r="D12" s="4" t="s">
        <v>30</v>
      </c>
      <c r="E12" s="5" t="s">
        <v>46</v>
      </c>
      <c r="F12" s="5" t="s">
        <v>47</v>
      </c>
      <c r="G12" s="9" t="s">
        <v>48</v>
      </c>
      <c r="H12" s="5" t="s">
        <v>39</v>
      </c>
      <c r="I12" s="5"/>
    </row>
    <row r="13" customFormat="false" ht="21.75" hidden="false" customHeight="true" outlineLevel="0" collapsed="false">
      <c r="A13" s="7" t="n">
        <v>10</v>
      </c>
      <c r="B13" s="7" t="s">
        <v>49</v>
      </c>
      <c r="C13" s="7" t="s">
        <v>50</v>
      </c>
      <c r="D13" s="7" t="s">
        <v>18</v>
      </c>
      <c r="E13" s="8" t="s">
        <v>51</v>
      </c>
      <c r="F13" s="8" t="s">
        <v>52</v>
      </c>
      <c r="G13" s="10" t="s">
        <v>53</v>
      </c>
      <c r="H13" s="8" t="s">
        <v>39</v>
      </c>
      <c r="I13" s="8"/>
    </row>
    <row r="14" customFormat="false" ht="21.75" hidden="false" customHeight="true" outlineLevel="0" collapsed="false">
      <c r="A14" s="4" t="n">
        <v>11</v>
      </c>
      <c r="B14" s="4" t="s">
        <v>54</v>
      </c>
      <c r="C14" s="4" t="s">
        <v>55</v>
      </c>
      <c r="D14" s="4" t="s">
        <v>26</v>
      </c>
      <c r="E14" s="5" t="s">
        <v>56</v>
      </c>
      <c r="F14" s="5" t="s">
        <v>57</v>
      </c>
      <c r="G14" s="10" t="s">
        <v>53</v>
      </c>
      <c r="H14" s="5" t="s">
        <v>16</v>
      </c>
      <c r="I14" s="5"/>
    </row>
    <row r="15" customFormat="false" ht="21.75" hidden="false" customHeight="true" outlineLevel="0" collapsed="false">
      <c r="A15" s="7" t="n">
        <v>12</v>
      </c>
      <c r="B15" s="7" t="s">
        <v>58</v>
      </c>
      <c r="C15" s="7" t="s">
        <v>59</v>
      </c>
      <c r="D15" s="7" t="s">
        <v>18</v>
      </c>
      <c r="E15" s="8" t="s">
        <v>60</v>
      </c>
      <c r="F15" s="8" t="s">
        <v>61</v>
      </c>
      <c r="G15" s="10" t="s">
        <v>53</v>
      </c>
      <c r="H15" s="8" t="s">
        <v>62</v>
      </c>
      <c r="I15" s="8"/>
    </row>
    <row r="16" customFormat="false" ht="21.75" hidden="false" customHeight="true" outlineLevel="0" collapsed="false">
      <c r="A16" s="4" t="n">
        <v>13</v>
      </c>
      <c r="B16" s="4" t="s">
        <v>63</v>
      </c>
      <c r="C16" s="4" t="s">
        <v>64</v>
      </c>
      <c r="D16" s="4" t="s">
        <v>26</v>
      </c>
      <c r="E16" s="5" t="s">
        <v>65</v>
      </c>
      <c r="F16" s="5" t="s">
        <v>24</v>
      </c>
      <c r="G16" s="10" t="s">
        <v>53</v>
      </c>
      <c r="H16" s="5" t="s">
        <v>66</v>
      </c>
      <c r="I16" s="5"/>
    </row>
    <row r="17" customFormat="false" ht="21.75" hidden="false" customHeight="true" outlineLevel="0" collapsed="false">
      <c r="A17" s="7" t="n">
        <v>14</v>
      </c>
      <c r="B17" s="7" t="s">
        <v>67</v>
      </c>
      <c r="C17" s="7" t="s">
        <v>68</v>
      </c>
      <c r="D17" s="7" t="s">
        <v>22</v>
      </c>
      <c r="E17" s="8" t="s">
        <v>69</v>
      </c>
      <c r="F17" s="8" t="s">
        <v>70</v>
      </c>
      <c r="G17" s="10" t="s">
        <v>53</v>
      </c>
      <c r="H17" s="8" t="s">
        <v>32</v>
      </c>
      <c r="I17" s="8"/>
    </row>
    <row r="18" customFormat="false" ht="21.75" hidden="false" customHeight="true" outlineLevel="0" collapsed="false">
      <c r="A18" s="4" t="n">
        <v>15</v>
      </c>
      <c r="B18" s="4" t="s">
        <v>71</v>
      </c>
      <c r="C18" s="4" t="s">
        <v>72</v>
      </c>
      <c r="D18" s="4" t="s">
        <v>18</v>
      </c>
      <c r="E18" s="5" t="s">
        <v>73</v>
      </c>
      <c r="F18" s="5" t="s">
        <v>74</v>
      </c>
      <c r="G18" s="10" t="s">
        <v>53</v>
      </c>
      <c r="H18" s="5" t="s">
        <v>75</v>
      </c>
      <c r="I18" s="5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</cols>
  <sheetData>
    <row r="1" customFormat="false" ht="31.5" hidden="false" customHeight="true" outlineLevel="0" collapsed="false">
      <c r="A1" s="11" t="s">
        <v>76</v>
      </c>
      <c r="B1" s="11"/>
      <c r="C1" s="11"/>
      <c r="D1" s="11"/>
      <c r="E1" s="11"/>
    </row>
    <row r="2" customFormat="false" ht="15" hidden="false" customHeight="false" outlineLevel="0" collapsed="false">
      <c r="A2" s="12" t="s">
        <v>77</v>
      </c>
      <c r="B2" s="13"/>
    </row>
    <row r="3" customFormat="false" ht="15" hidden="false" customHeight="false" outlineLevel="0" collapsed="false">
      <c r="A3" s="12" t="s">
        <v>78</v>
      </c>
      <c r="B3" s="13" t="s">
        <v>11</v>
      </c>
    </row>
    <row r="4" customFormat="false" ht="15" hidden="false" customHeight="false" outlineLevel="0" collapsed="false">
      <c r="A4" s="12" t="s">
        <v>79</v>
      </c>
      <c r="B4" s="13"/>
    </row>
    <row r="5" customFormat="false" ht="15" hidden="false" customHeight="false" outlineLevel="0" collapsed="false">
      <c r="A5" s="12" t="s">
        <v>80</v>
      </c>
      <c r="B5" s="13"/>
    </row>
    <row r="6" customFormat="false" ht="15" hidden="false" customHeight="false" outlineLevel="0" collapsed="false">
      <c r="A6" s="12" t="s">
        <v>81</v>
      </c>
      <c r="B6" s="13"/>
    </row>
    <row r="7" customFormat="false" ht="15" hidden="false" customHeight="false" outlineLevel="0" collapsed="false">
      <c r="A7" s="12" t="s">
        <v>82</v>
      </c>
      <c r="B7" s="13" t="s">
        <v>83</v>
      </c>
    </row>
    <row r="9" customFormat="false" ht="15" hidden="false" customHeight="false" outlineLevel="0" collapsed="false">
      <c r="A9" s="14" t="s">
        <v>8</v>
      </c>
      <c r="B9" s="14" t="s">
        <v>84</v>
      </c>
    </row>
    <row r="10" customFormat="false" ht="15" hidden="false" customHeight="false" outlineLevel="0" collapsed="false">
      <c r="A10" s="15" t="s">
        <v>15</v>
      </c>
      <c r="B10" s="15" t="n">
        <f aca="false">COUNTIF('Daily Task Tracker'!G:G,"✅ Completed")</f>
        <v>8</v>
      </c>
    </row>
    <row r="11" customFormat="false" ht="15" hidden="false" customHeight="false" outlineLevel="0" collapsed="false">
      <c r="A11" s="16" t="s">
        <v>48</v>
      </c>
      <c r="B11" s="16" t="n">
        <f aca="false">COUNTIF('Daily Task Tracker'!G:G,"🔄 In Progress")</f>
        <v>1</v>
      </c>
    </row>
    <row r="12" customFormat="false" ht="15" hidden="false" customHeight="false" outlineLevel="0" collapsed="false">
      <c r="A12" s="17" t="s">
        <v>53</v>
      </c>
      <c r="B12" s="17" t="n">
        <f aca="false">COUNTIF('Daily Task Tracker'!G:G,"⏳ Pending")</f>
        <v>6</v>
      </c>
    </row>
    <row r="13" customFormat="false" ht="15" hidden="false" customHeight="false" outlineLevel="0" collapsed="false">
      <c r="A13" s="18" t="s">
        <v>85</v>
      </c>
      <c r="B13" s="18" t="n">
        <f aca="false">COUNTIF('Daily Task Tracker'!G:G,"❌ Blocked")</f>
        <v>0</v>
      </c>
    </row>
    <row r="14" customFormat="false" ht="15" hidden="false" customHeight="false" outlineLevel="0" collapsed="false">
      <c r="A14" s="19" t="s">
        <v>86</v>
      </c>
      <c r="B14" s="19" t="n">
        <f aca="false">SUM(B10:B13)</f>
        <v>15</v>
      </c>
    </row>
    <row r="16" customFormat="false" ht="15" hidden="false" customHeight="false" outlineLevel="0" collapsed="false">
      <c r="A16" s="20" t="s">
        <v>87</v>
      </c>
    </row>
    <row r="17" customFormat="false" ht="15" hidden="false" customHeight="false" outlineLevel="0" collapsed="false">
      <c r="A17" s="21" t="s">
        <v>15</v>
      </c>
      <c r="B17" s="22" t="s">
        <v>88</v>
      </c>
    </row>
    <row r="18" customFormat="false" ht="15" hidden="false" customHeight="false" outlineLevel="0" collapsed="false">
      <c r="A18" s="21" t="s">
        <v>48</v>
      </c>
      <c r="B18" s="22" t="s">
        <v>89</v>
      </c>
    </row>
    <row r="19" customFormat="false" ht="15" hidden="false" customHeight="false" outlineLevel="0" collapsed="false">
      <c r="A19" s="21" t="s">
        <v>53</v>
      </c>
      <c r="B19" s="22" t="s">
        <v>90</v>
      </c>
    </row>
    <row r="20" customFormat="false" ht="15" hidden="false" customHeight="false" outlineLevel="0" collapsed="false">
      <c r="A20" s="21" t="s">
        <v>85</v>
      </c>
      <c r="B20" s="22" t="s">
        <v>91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2026-04-14T03:37:02Z</dcterms:created>
  <dc:creator>openpyxl</dc:creator>
  <dc:description/>
  <dc:language>en-US</dc:language>
  <cp:lastModifiedBy/>
  <dcterms:modified xsi:type="dcterms:W3CDTF">2026-04-14T03:37:02Z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